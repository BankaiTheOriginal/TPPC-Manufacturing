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4" documentId="8_{33AD09AA-2FE0-4BA8-9DD8-5871EF976D52}" xr6:coauthVersionLast="47" xr6:coauthVersionMax="47" xr10:uidLastSave="{4337EF66-73D8-4508-8406-192AA4AC6D9F}"/>
  <bookViews>
    <workbookView xWindow="-110" yWindow="-110" windowWidth="19420" windowHeight="10300" firstSheet="3" activeTab="3" xr2:uid="{00000000-000D-0000-FFFF-FFFF00000000}"/>
  </bookViews>
  <sheets>
    <sheet name="User Roles &amp; Teams" sheetId="1" r:id="rId1"/>
    <sheet name="Finish Stage Locations" sheetId="2" r:id="rId2"/>
    <sheet name="Inventory Test Items" sheetId="3" r:id="rId3"/>
    <sheet name="Sheet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" i="4"/>
</calcChain>
</file>

<file path=xl/sharedStrings.xml><?xml version="1.0" encoding="utf-8"?>
<sst xmlns="http://schemas.openxmlformats.org/spreadsheetml/2006/main" count="456" uniqueCount="276">
  <si>
    <t>Staff Name</t>
  </si>
  <si>
    <t>User Role</t>
  </si>
  <si>
    <t>Team Name</t>
  </si>
  <si>
    <t>Direct Application Access (Yes/No)</t>
  </si>
  <si>
    <t>Notes</t>
  </si>
  <si>
    <t>Emeka, Daniel and Kess</t>
  </si>
  <si>
    <t>Administrator</t>
  </si>
  <si>
    <t>Management</t>
  </si>
  <si>
    <t>Yes</t>
  </si>
  <si>
    <t>Full system access</t>
  </si>
  <si>
    <t>Adewale</t>
  </si>
  <si>
    <t>Inventory Manager</t>
  </si>
  <si>
    <t>Warehouse</t>
  </si>
  <si>
    <t>Manages stock and materials</t>
  </si>
  <si>
    <t>Kelechi</t>
  </si>
  <si>
    <t>Production Staff</t>
  </si>
  <si>
    <t>Manufacturing</t>
  </si>
  <si>
    <t>Handles production stages</t>
  </si>
  <si>
    <t>Uche</t>
  </si>
  <si>
    <t>No</t>
  </si>
  <si>
    <t>Agozie</t>
  </si>
  <si>
    <t>Nonso</t>
  </si>
  <si>
    <t>Finishing supervisor</t>
  </si>
  <si>
    <t>Jude</t>
  </si>
  <si>
    <t>Osita</t>
  </si>
  <si>
    <t>Hannah</t>
  </si>
  <si>
    <t>Customer care rep</t>
  </si>
  <si>
    <t>customer care</t>
  </si>
  <si>
    <t>Limited access via reports</t>
  </si>
  <si>
    <t>Gloria</t>
  </si>
  <si>
    <t>Nma</t>
  </si>
  <si>
    <t>Sales Representative</t>
  </si>
  <si>
    <t>sales</t>
  </si>
  <si>
    <t>Jennifer</t>
  </si>
  <si>
    <t>Dovina</t>
  </si>
  <si>
    <t>Ololade</t>
  </si>
  <si>
    <t>Location ID</t>
  </si>
  <si>
    <t>Location Name</t>
  </si>
  <si>
    <t>Description</t>
  </si>
  <si>
    <t>Responsible Team</t>
  </si>
  <si>
    <t>LOC001</t>
  </si>
  <si>
    <t>Shomolu Production Floor</t>
  </si>
  <si>
    <t>Primary area where products are produced</t>
  </si>
  <si>
    <t>LOC002</t>
  </si>
  <si>
    <t>Shomolu finishing floor</t>
  </si>
  <si>
    <t xml:space="preserve">Finishing floor for paper bags </t>
  </si>
  <si>
    <t>Finishing team</t>
  </si>
  <si>
    <t>LOC003</t>
  </si>
  <si>
    <t>Natufe finishing floor</t>
  </si>
  <si>
    <t>LOC004</t>
  </si>
  <si>
    <t>Rasaq finishing floor</t>
  </si>
  <si>
    <t xml:space="preserve">Finishing floor for paper boxes </t>
  </si>
  <si>
    <t>DATE</t>
  </si>
  <si>
    <t>CLIENT NAME</t>
  </si>
  <si>
    <t>JOB DESCRIPTION</t>
  </si>
  <si>
    <t>PRODUCT NAME</t>
  </si>
  <si>
    <t>CLIENT LOCATION</t>
  </si>
  <si>
    <t>PRODUCT TYPE</t>
  </si>
  <si>
    <t>ORDER TYPE</t>
  </si>
  <si>
    <t>ORDER QTY</t>
  </si>
  <si>
    <t>PRODUCTION STATUS</t>
  </si>
  <si>
    <t>DATE PAPER</t>
  </si>
  <si>
    <t>PAPER TYPE</t>
  </si>
  <si>
    <t>PAPER RATE</t>
  </si>
  <si>
    <t>PAPER QTY</t>
  </si>
  <si>
    <t>PAPER AMOUNT</t>
  </si>
  <si>
    <t>PAPER STATUS</t>
  </si>
  <si>
    <t>DATE CUT</t>
  </si>
  <si>
    <t>CUT SIZE</t>
  </si>
  <si>
    <t>CUT QTY</t>
  </si>
  <si>
    <t>CUT AMOUNT</t>
  </si>
  <si>
    <t>CUT STATUS</t>
  </si>
  <si>
    <t>DATE CTP</t>
  </si>
  <si>
    <t>CTP SIZE</t>
  </si>
  <si>
    <t>CTP QTY</t>
  </si>
  <si>
    <t>CTP RATE</t>
  </si>
  <si>
    <t>CTP AMOUNT</t>
  </si>
  <si>
    <t>CTP STATUS</t>
  </si>
  <si>
    <t>DATE PRINT</t>
  </si>
  <si>
    <t>PRINTER TYPE</t>
  </si>
  <si>
    <t>IMPRESSION QTY</t>
  </si>
  <si>
    <t>PRINT RATE</t>
  </si>
  <si>
    <t>PRINT AMOUNT</t>
  </si>
  <si>
    <t>QTY GOOD PRINTS</t>
  </si>
  <si>
    <t>PRINT WASTE</t>
  </si>
  <si>
    <t>PRINT STATUS</t>
  </si>
  <si>
    <t>DATE DIECUT</t>
  </si>
  <si>
    <t>SHEET QTY</t>
  </si>
  <si>
    <t>DIECUT RATE</t>
  </si>
  <si>
    <t>DIECUT AMOUNT</t>
  </si>
  <si>
    <t>DIECUT WASTE</t>
  </si>
  <si>
    <t>DIECUT STATUS</t>
  </si>
  <si>
    <t>DATE LAM</t>
  </si>
  <si>
    <t>LAMINATION TYPE</t>
  </si>
  <si>
    <t>SHEET SIZE</t>
  </si>
  <si>
    <t>LAM QTY</t>
  </si>
  <si>
    <t>LAM RATE</t>
  </si>
  <si>
    <t>LAM AMOUNT</t>
  </si>
  <si>
    <t>LAM WASTE</t>
  </si>
  <si>
    <t>LAM STATUS</t>
  </si>
  <si>
    <t>DATE STICKER</t>
  </si>
  <si>
    <t>LENGTH</t>
  </si>
  <si>
    <t>BREADTH</t>
  </si>
  <si>
    <t>STICKER QTY</t>
  </si>
  <si>
    <t>STAICKER RATE</t>
  </si>
  <si>
    <t>STICKER AMOUNT</t>
  </si>
  <si>
    <t>STICKER STATUS</t>
  </si>
  <si>
    <t>DATE DIEFORM</t>
  </si>
  <si>
    <t>DIEFORM QTY</t>
  </si>
  <si>
    <t>DIEFORM AMOUNT</t>
  </si>
  <si>
    <t>DIEFORM STATUS</t>
  </si>
  <si>
    <t>@</t>
  </si>
  <si>
    <t>DATE CUP</t>
  </si>
  <si>
    <t>CUP SIZE</t>
  </si>
  <si>
    <t>CUP QTY</t>
  </si>
  <si>
    <t>CUP RATE</t>
  </si>
  <si>
    <t>CUP AMOUNT</t>
  </si>
  <si>
    <t>COMMENTS</t>
  </si>
  <si>
    <t>DATE CARTON</t>
  </si>
  <si>
    <t>CARTON QTY</t>
  </si>
  <si>
    <t>CARTON RATE</t>
  </si>
  <si>
    <t>CARTON AMOUNT</t>
  </si>
  <si>
    <t>CARTON STATUS</t>
  </si>
  <si>
    <t>DATE FINISH</t>
  </si>
  <si>
    <t>QTY RECIEVED</t>
  </si>
  <si>
    <t>QTY FINISHED</t>
  </si>
  <si>
    <t>FINISH RATE</t>
  </si>
  <si>
    <t>FINISH AMOUNT</t>
  </si>
  <si>
    <t>FINISH WASTE</t>
  </si>
  <si>
    <t>FINISH STATUS</t>
  </si>
  <si>
    <t>TOTAL WASTAGES</t>
  </si>
  <si>
    <t>ACTUAL ORDER</t>
  </si>
  <si>
    <t>EXCESS</t>
  </si>
  <si>
    <t>TOTAL COST</t>
  </si>
  <si>
    <t>SALES PRICE</t>
  </si>
  <si>
    <t>PROFIT/LOSS</t>
  </si>
  <si>
    <t>01-Mar-2026</t>
  </si>
  <si>
    <t>ABC Foods Ltd</t>
  </si>
  <si>
    <t>Ice Cream Cups Printing</t>
  </si>
  <si>
    <t>Ice Cream Cup</t>
  </si>
  <si>
    <t>Lagos</t>
  </si>
  <si>
    <t>Plain</t>
  </si>
  <si>
    <t>First time order</t>
  </si>
  <si>
    <t>Show percentage completed</t>
  </si>
  <si>
    <t>FBB 250gsm</t>
  </si>
  <si>
    <t>Used</t>
  </si>
  <si>
    <t>02-Mar-2026</t>
  </si>
  <si>
    <t>A3</t>
  </si>
  <si>
    <t>Completed</t>
  </si>
  <si>
    <t>A3 Plate</t>
  </si>
  <si>
    <t>03-Mar-2026</t>
  </si>
  <si>
    <t>Heidelberg Offset</t>
  </si>
  <si>
    <t>04-Mar-2026</t>
  </si>
  <si>
    <t>Gloss Lamination</t>
  </si>
  <si>
    <t>05-Mar-2026</t>
  </si>
  <si>
    <t>Medium</t>
  </si>
  <si>
    <t>Cup forming done</t>
  </si>
  <si>
    <t>06-Mar-2026</t>
  </si>
  <si>
    <t>FreshBite Kitchen</t>
  </si>
  <si>
    <t>Takeaway Food Boxes</t>
  </si>
  <si>
    <t>Food Box</t>
  </si>
  <si>
    <t>Abuja</t>
  </si>
  <si>
    <t>Branded</t>
  </si>
  <si>
    <t>Reorder</t>
  </si>
  <si>
    <t>FBB 300gsm</t>
  </si>
  <si>
    <t>A2</t>
  </si>
  <si>
    <t>A2 Plate</t>
  </si>
  <si>
    <t>Komori Offset</t>
  </si>
  <si>
    <t>Matte Lamination</t>
  </si>
  <si>
    <t>Small</t>
  </si>
  <si>
    <t>Cup forming completed</t>
  </si>
  <si>
    <t>Generic</t>
  </si>
  <si>
    <t>Repeat order</t>
  </si>
  <si>
    <t>FBB 350gsm</t>
  </si>
  <si>
    <t>FBB 400gsm</t>
  </si>
  <si>
    <t>Chipboard 300gsm</t>
  </si>
  <si>
    <t>Chipboard 350gsm</t>
  </si>
  <si>
    <t>Art 135gsm</t>
  </si>
  <si>
    <t>Art 150gsm</t>
  </si>
  <si>
    <t>Matte 135gsm</t>
  </si>
  <si>
    <t>Matte 150gsm</t>
  </si>
  <si>
    <t>Bond 80gsm</t>
  </si>
  <si>
    <t>Bond 100gsm</t>
  </si>
  <si>
    <t>Sticker paper</t>
  </si>
  <si>
    <t>White gpp 50gsm</t>
  </si>
  <si>
    <t>Brown gpp 50gsm</t>
  </si>
  <si>
    <t>Kraft paper 125gsm</t>
  </si>
  <si>
    <t>Kraft card 300gsm</t>
  </si>
  <si>
    <t>PAPER BOARD</t>
  </si>
  <si>
    <t>FBB 270gsm</t>
  </si>
  <si>
    <t>kraft paper 60gsm</t>
  </si>
  <si>
    <t>bond 70gsm</t>
  </si>
  <si>
    <t>SOURCE PAPER SIZE</t>
  </si>
  <si>
    <t>COST/PACKET</t>
  </si>
  <si>
    <t>NO SHEETS/PACKET</t>
  </si>
  <si>
    <t>COST/SHEET</t>
  </si>
  <si>
    <t>COST/CUT</t>
  </si>
  <si>
    <t>CTP</t>
  </si>
  <si>
    <t>COST/COLOR</t>
  </si>
  <si>
    <t>PRINT</t>
  </si>
  <si>
    <t>SIZE</t>
  </si>
  <si>
    <t>Gloss Cost</t>
  </si>
  <si>
    <t>Matte COST/SHEET</t>
  </si>
  <si>
    <t>DIECUT SIZE</t>
  </si>
  <si>
    <t>COST/DIECUT</t>
  </si>
  <si>
    <t>ITEM FINISHED</t>
  </si>
  <si>
    <t>COST/FINISH</t>
  </si>
  <si>
    <t>36x48</t>
  </si>
  <si>
    <t>16x18</t>
  </si>
  <si>
    <t>1 - 6 = N7</t>
  </si>
  <si>
    <t>Kord</t>
  </si>
  <si>
    <t>Gloss/Matte</t>
  </si>
  <si>
    <t>1 - 6 = N15</t>
  </si>
  <si>
    <t>paper bags</t>
  </si>
  <si>
    <t>13.5x15.5</t>
  </si>
  <si>
    <t>7 - 16 = N5</t>
  </si>
  <si>
    <t>MO</t>
  </si>
  <si>
    <t>7 - 16 = N6</t>
  </si>
  <si>
    <t>paper boxes</t>
  </si>
  <si>
    <t>10x20.5</t>
  </si>
  <si>
    <t>17 - 48 = N2.5</t>
  </si>
  <si>
    <t>Sord</t>
  </si>
  <si>
    <t>17 - 48 = N4</t>
  </si>
  <si>
    <t>sanack papers</t>
  </si>
  <si>
    <t>10x15.5</t>
  </si>
  <si>
    <t>SM</t>
  </si>
  <si>
    <t>Consumables</t>
  </si>
  <si>
    <t>12x24</t>
  </si>
  <si>
    <t>ADAZ</t>
  </si>
  <si>
    <t>DI paper print</t>
  </si>
  <si>
    <t>Bag base</t>
  </si>
  <si>
    <t>small/medium  bag = N5; large bag = N10; Xlarge bag = N15</t>
  </si>
  <si>
    <t>12x12</t>
  </si>
  <si>
    <t>DI card print</t>
  </si>
  <si>
    <t>14x14</t>
  </si>
  <si>
    <t>Screenprinting</t>
  </si>
  <si>
    <t>24x36</t>
  </si>
  <si>
    <t>12x22</t>
  </si>
  <si>
    <t>12x18</t>
  </si>
  <si>
    <t>12x9</t>
  </si>
  <si>
    <t>6x9</t>
  </si>
  <si>
    <t>10x10</t>
  </si>
  <si>
    <t>11x14</t>
  </si>
  <si>
    <t>20x30</t>
  </si>
  <si>
    <t>18x24</t>
  </si>
  <si>
    <t>24x18</t>
  </si>
  <si>
    <t>18x81</t>
  </si>
  <si>
    <t>Kraft paper 110gsm 31X42"</t>
  </si>
  <si>
    <t>31x42</t>
  </si>
  <si>
    <t>Kraft paper 110gsm 36X47"</t>
  </si>
  <si>
    <t>36x47</t>
  </si>
  <si>
    <t>24x40</t>
  </si>
  <si>
    <t>Formula</t>
  </si>
  <si>
    <t>To get cost of sheet used</t>
  </si>
  <si>
    <t>Production processes</t>
  </si>
  <si>
    <t>To know the number of cut outs from source sheet</t>
  </si>
  <si>
    <t>Processes</t>
  </si>
  <si>
    <t>Cost</t>
  </si>
  <si>
    <t>Select paper type</t>
  </si>
  <si>
    <t>Paper selection</t>
  </si>
  <si>
    <t>to be determined</t>
  </si>
  <si>
    <t>Product size; LxB</t>
  </si>
  <si>
    <t>Cost of paper used = cost per sheet/no of cut outs</t>
  </si>
  <si>
    <t>Cutting size</t>
  </si>
  <si>
    <t>Source sheet size; L0xB0</t>
  </si>
  <si>
    <t>CTP making</t>
  </si>
  <si>
    <t>No of cut outs = (L0/L) x (B0/B)</t>
  </si>
  <si>
    <t>Printing</t>
  </si>
  <si>
    <t>Diecutting</t>
  </si>
  <si>
    <t xml:space="preserve">For paper bags; </t>
  </si>
  <si>
    <t>Laminating</t>
  </si>
  <si>
    <t>No of bag sheets = No of cut outs/2</t>
  </si>
  <si>
    <t>Finishing</t>
  </si>
  <si>
    <t>Base</t>
  </si>
  <si>
    <t>Twsited handles</t>
  </si>
  <si>
    <t>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</si>
</sst>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4" fillId="3" borderId="0" xfId="0" applyFont="1" applyFill="1"/>
    <xf numFmtId="0" fontId="5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D12" sqref="D12"/>
    </sheetView>
  </sheetViews>
  <sheetFormatPr defaultColWidth="8.85546875" defaultRowHeight="14.45"/>
  <cols>
    <col min="1" max="1" width="23.5703125" customWidth="1"/>
    <col min="2" max="2" width="21.5703125" customWidth="1"/>
    <col min="3" max="3" width="22.5703125" customWidth="1"/>
    <col min="4" max="4" width="27.140625" bestFit="1" customWidth="1"/>
    <col min="5" max="5" width="22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>
      <c r="A5" t="s">
        <v>18</v>
      </c>
      <c r="B5" t="s">
        <v>15</v>
      </c>
      <c r="C5" t="s">
        <v>16</v>
      </c>
      <c r="D5" t="s">
        <v>19</v>
      </c>
      <c r="E5" t="s">
        <v>17</v>
      </c>
    </row>
    <row r="6" spans="1:5">
      <c r="A6" t="s">
        <v>20</v>
      </c>
      <c r="B6" t="s">
        <v>15</v>
      </c>
      <c r="C6" t="s">
        <v>16</v>
      </c>
      <c r="D6" t="s">
        <v>8</v>
      </c>
      <c r="E6" t="s">
        <v>17</v>
      </c>
    </row>
    <row r="7" spans="1:5">
      <c r="A7" t="s">
        <v>21</v>
      </c>
      <c r="B7" t="s">
        <v>22</v>
      </c>
      <c r="C7" t="s">
        <v>16</v>
      </c>
      <c r="D7" t="s">
        <v>8</v>
      </c>
      <c r="E7" t="s">
        <v>17</v>
      </c>
    </row>
    <row r="8" spans="1:5">
      <c r="A8" t="s">
        <v>23</v>
      </c>
      <c r="B8" t="s">
        <v>22</v>
      </c>
      <c r="C8" t="s">
        <v>16</v>
      </c>
      <c r="D8" t="s">
        <v>8</v>
      </c>
      <c r="E8" t="s">
        <v>17</v>
      </c>
    </row>
    <row r="9" spans="1:5">
      <c r="A9" t="s">
        <v>24</v>
      </c>
      <c r="B9" t="s">
        <v>22</v>
      </c>
      <c r="C9" t="s">
        <v>16</v>
      </c>
      <c r="D9" t="s">
        <v>8</v>
      </c>
      <c r="E9" t="s">
        <v>17</v>
      </c>
    </row>
    <row r="10" spans="1:5">
      <c r="A10" t="s">
        <v>25</v>
      </c>
      <c r="B10" t="s">
        <v>26</v>
      </c>
      <c r="C10" t="s">
        <v>27</v>
      </c>
      <c r="D10" t="s">
        <v>19</v>
      </c>
      <c r="E10" t="s">
        <v>28</v>
      </c>
    </row>
    <row r="11" spans="1:5">
      <c r="A11" t="s">
        <v>29</v>
      </c>
      <c r="B11" t="s">
        <v>26</v>
      </c>
      <c r="C11" t="s">
        <v>27</v>
      </c>
      <c r="D11" t="s">
        <v>19</v>
      </c>
      <c r="E11" t="s">
        <v>28</v>
      </c>
    </row>
    <row r="12" spans="1:5">
      <c r="A12" t="s">
        <v>30</v>
      </c>
      <c r="B12" t="s">
        <v>31</v>
      </c>
      <c r="C12" t="s">
        <v>32</v>
      </c>
      <c r="D12" t="s">
        <v>19</v>
      </c>
      <c r="E12" t="s">
        <v>28</v>
      </c>
    </row>
    <row r="13" spans="1:5">
      <c r="A13" t="s">
        <v>33</v>
      </c>
      <c r="B13" t="s">
        <v>31</v>
      </c>
      <c r="C13" t="s">
        <v>32</v>
      </c>
      <c r="D13" t="s">
        <v>19</v>
      </c>
      <c r="E13" t="s">
        <v>28</v>
      </c>
    </row>
    <row r="14" spans="1:5">
      <c r="A14" t="s">
        <v>34</v>
      </c>
      <c r="B14" t="s">
        <v>31</v>
      </c>
      <c r="C14" t="s">
        <v>32</v>
      </c>
      <c r="D14" t="s">
        <v>19</v>
      </c>
      <c r="E14" t="s">
        <v>28</v>
      </c>
    </row>
    <row r="15" spans="1:5">
      <c r="A15" t="s">
        <v>35</v>
      </c>
      <c r="B15" t="s">
        <v>31</v>
      </c>
      <c r="C15" t="s">
        <v>32</v>
      </c>
      <c r="D15" t="s">
        <v>19</v>
      </c>
      <c r="E15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12" sqref="D12"/>
    </sheetView>
  </sheetViews>
  <sheetFormatPr defaultColWidth="8.85546875" defaultRowHeight="14.45"/>
  <cols>
    <col min="1" max="1" width="22" customWidth="1"/>
    <col min="2" max="2" width="24.42578125" customWidth="1"/>
    <col min="3" max="3" width="39.85546875" customWidth="1"/>
    <col min="4" max="4" width="20.42578125" customWidth="1"/>
  </cols>
  <sheetData>
    <row r="1" spans="1:4">
      <c r="A1" t="s">
        <v>36</v>
      </c>
      <c r="B1" t="s">
        <v>37</v>
      </c>
      <c r="C1" t="s">
        <v>38</v>
      </c>
      <c r="D1" t="s">
        <v>39</v>
      </c>
    </row>
    <row r="2" spans="1:4">
      <c r="A2" t="s">
        <v>40</v>
      </c>
      <c r="B2" t="s">
        <v>41</v>
      </c>
      <c r="C2" t="s">
        <v>42</v>
      </c>
      <c r="D2" t="s">
        <v>16</v>
      </c>
    </row>
    <row r="3" spans="1:4">
      <c r="A3" t="s">
        <v>43</v>
      </c>
      <c r="B3" t="s">
        <v>44</v>
      </c>
      <c r="C3" t="s">
        <v>45</v>
      </c>
      <c r="D3" t="s">
        <v>46</v>
      </c>
    </row>
    <row r="4" spans="1:4">
      <c r="A4" t="s">
        <v>47</v>
      </c>
      <c r="B4" t="s">
        <v>48</v>
      </c>
      <c r="C4" t="s">
        <v>45</v>
      </c>
      <c r="D4" t="s">
        <v>46</v>
      </c>
    </row>
    <row r="5" spans="1:4">
      <c r="A5" t="s">
        <v>49</v>
      </c>
      <c r="B5" t="s">
        <v>50</v>
      </c>
      <c r="C5" t="s">
        <v>51</v>
      </c>
      <c r="D5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O22"/>
  <sheetViews>
    <sheetView topLeftCell="CU1" workbookViewId="0">
      <selection activeCell="K28" sqref="K28"/>
    </sheetView>
  </sheetViews>
  <sheetFormatPr defaultColWidth="8.85546875" defaultRowHeight="14.45"/>
  <cols>
    <col min="1" max="1" width="17.85546875" customWidth="1"/>
    <col min="2" max="2" width="17.42578125" customWidth="1"/>
    <col min="3" max="3" width="24.85546875" customWidth="1"/>
    <col min="4" max="4" width="21.42578125" customWidth="1"/>
    <col min="5" max="5" width="20.85546875" customWidth="1"/>
    <col min="6" max="6" width="17.5703125" customWidth="1"/>
    <col min="7" max="7" width="17.42578125" customWidth="1"/>
    <col min="8" max="8" width="14.42578125" customWidth="1"/>
    <col min="9" max="9" width="22.85546875" bestFit="1" customWidth="1"/>
    <col min="10" max="10" width="20.5703125" customWidth="1"/>
    <col min="11" max="11" width="19.42578125" customWidth="1"/>
    <col min="12" max="12" width="12" customWidth="1"/>
    <col min="13" max="13" width="12.42578125" customWidth="1"/>
    <col min="14" max="14" width="15" customWidth="1"/>
    <col min="20" max="20" width="15" customWidth="1"/>
    <col min="23" max="23" width="12.42578125" customWidth="1"/>
    <col min="30" max="30" width="14.42578125" customWidth="1"/>
    <col min="31" max="31" width="18.140625" customWidth="1"/>
    <col min="66" max="66" width="13.42578125" customWidth="1"/>
  </cols>
  <sheetData>
    <row r="1" spans="1:9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T1" t="s">
        <v>92</v>
      </c>
      <c r="AU1" t="s">
        <v>93</v>
      </c>
      <c r="AV1" t="s">
        <v>94</v>
      </c>
      <c r="AW1" t="s">
        <v>95</v>
      </c>
      <c r="AX1" t="s">
        <v>96</v>
      </c>
      <c r="AY1" t="s">
        <v>97</v>
      </c>
      <c r="AZ1" t="s">
        <v>98</v>
      </c>
      <c r="BA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K1" t="s">
        <v>107</v>
      </c>
      <c r="BL1" t="s">
        <v>108</v>
      </c>
      <c r="BM1" t="s">
        <v>109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  <c r="BX1" t="s">
        <v>120</v>
      </c>
      <c r="BY1" t="s">
        <v>121</v>
      </c>
      <c r="BZ1" t="s">
        <v>122</v>
      </c>
      <c r="CB1" t="s">
        <v>123</v>
      </c>
      <c r="CC1" t="s">
        <v>124</v>
      </c>
      <c r="CD1" t="s">
        <v>125</v>
      </c>
      <c r="CE1" t="s">
        <v>126</v>
      </c>
      <c r="CF1" t="s">
        <v>127</v>
      </c>
      <c r="CG1" t="s">
        <v>128</v>
      </c>
      <c r="CH1" t="s">
        <v>129</v>
      </c>
      <c r="CJ1" t="s">
        <v>130</v>
      </c>
      <c r="CK1" t="s">
        <v>131</v>
      </c>
      <c r="CL1" t="s">
        <v>132</v>
      </c>
      <c r="CM1" t="s">
        <v>133</v>
      </c>
      <c r="CN1" t="s">
        <v>134</v>
      </c>
      <c r="CO1" t="s">
        <v>135</v>
      </c>
    </row>
    <row r="2" spans="1:93">
      <c r="A2" t="s">
        <v>136</v>
      </c>
      <c r="B2" t="s">
        <v>137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I2" t="s">
        <v>143</v>
      </c>
      <c r="J2" t="s">
        <v>136</v>
      </c>
      <c r="K2" t="s">
        <v>144</v>
      </c>
      <c r="L2" s="3">
        <v>38000</v>
      </c>
      <c r="N2">
        <v>624000</v>
      </c>
      <c r="O2" t="s">
        <v>145</v>
      </c>
      <c r="Q2" t="s">
        <v>146</v>
      </c>
      <c r="R2" t="s">
        <v>147</v>
      </c>
      <c r="S2">
        <v>5200</v>
      </c>
      <c r="T2">
        <v>45000</v>
      </c>
      <c r="U2" t="s">
        <v>148</v>
      </c>
      <c r="W2" t="s">
        <v>146</v>
      </c>
      <c r="X2" t="s">
        <v>149</v>
      </c>
      <c r="Y2">
        <v>4</v>
      </c>
      <c r="Z2">
        <v>8000</v>
      </c>
      <c r="AA2">
        <v>32000</v>
      </c>
      <c r="AB2" t="s">
        <v>148</v>
      </c>
      <c r="AD2" t="s">
        <v>150</v>
      </c>
      <c r="AE2" t="s">
        <v>151</v>
      </c>
      <c r="AF2">
        <v>5000</v>
      </c>
      <c r="AG2">
        <v>15</v>
      </c>
      <c r="AH2">
        <v>75000</v>
      </c>
      <c r="AI2">
        <v>4900</v>
      </c>
      <c r="AJ2">
        <v>100</v>
      </c>
      <c r="AK2" t="s">
        <v>148</v>
      </c>
      <c r="AM2" t="s">
        <v>150</v>
      </c>
      <c r="AN2">
        <v>5000</v>
      </c>
      <c r="AO2">
        <v>8</v>
      </c>
      <c r="AP2">
        <v>40000</v>
      </c>
      <c r="AQ2">
        <v>50</v>
      </c>
      <c r="AR2" t="s">
        <v>148</v>
      </c>
      <c r="AT2" t="s">
        <v>152</v>
      </c>
      <c r="AU2" t="s">
        <v>153</v>
      </c>
      <c r="AV2" t="s">
        <v>147</v>
      </c>
      <c r="AW2">
        <v>5000</v>
      </c>
      <c r="AX2">
        <v>12</v>
      </c>
      <c r="AY2">
        <v>60000</v>
      </c>
      <c r="AZ2">
        <v>40</v>
      </c>
      <c r="BA2" t="s">
        <v>148</v>
      </c>
      <c r="BC2" t="s">
        <v>152</v>
      </c>
      <c r="BD2">
        <v>9</v>
      </c>
      <c r="BE2">
        <v>6</v>
      </c>
      <c r="BF2">
        <v>5000</v>
      </c>
      <c r="BG2">
        <v>25</v>
      </c>
      <c r="BH2">
        <v>125000</v>
      </c>
      <c r="BI2" t="s">
        <v>148</v>
      </c>
      <c r="BK2" t="s">
        <v>154</v>
      </c>
      <c r="BL2">
        <v>4900</v>
      </c>
      <c r="BM2">
        <v>20000</v>
      </c>
      <c r="BN2" t="s">
        <v>148</v>
      </c>
      <c r="BO2" t="s">
        <v>111</v>
      </c>
      <c r="BP2" t="s">
        <v>154</v>
      </c>
      <c r="BQ2" t="s">
        <v>155</v>
      </c>
      <c r="BR2">
        <v>4900</v>
      </c>
      <c r="BS2">
        <v>5</v>
      </c>
      <c r="BT2">
        <v>24500</v>
      </c>
      <c r="BU2" t="s">
        <v>156</v>
      </c>
      <c r="BV2" t="s">
        <v>157</v>
      </c>
      <c r="BW2">
        <v>100</v>
      </c>
      <c r="BX2">
        <v>300</v>
      </c>
      <c r="BY2">
        <v>30000</v>
      </c>
      <c r="BZ2" t="s">
        <v>148</v>
      </c>
      <c r="CB2" t="s">
        <v>157</v>
      </c>
      <c r="CC2">
        <v>4900</v>
      </c>
      <c r="CD2">
        <v>4850</v>
      </c>
      <c r="CE2">
        <v>6</v>
      </c>
      <c r="CF2">
        <v>29100</v>
      </c>
      <c r="CG2">
        <v>50</v>
      </c>
      <c r="CH2" t="s">
        <v>148</v>
      </c>
      <c r="CJ2">
        <v>240</v>
      </c>
      <c r="CK2">
        <v>5000</v>
      </c>
      <c r="CL2">
        <v>-100</v>
      </c>
      <c r="CM2">
        <v>1003600</v>
      </c>
      <c r="CN2">
        <v>1200000</v>
      </c>
      <c r="CO2">
        <v>196400</v>
      </c>
    </row>
    <row r="3" spans="1:93">
      <c r="A3" t="s">
        <v>146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163</v>
      </c>
      <c r="J3" t="s">
        <v>146</v>
      </c>
      <c r="K3" t="s">
        <v>164</v>
      </c>
      <c r="L3" s="3">
        <v>42000</v>
      </c>
      <c r="N3">
        <v>310000</v>
      </c>
      <c r="O3" t="s">
        <v>145</v>
      </c>
      <c r="Q3" t="s">
        <v>146</v>
      </c>
      <c r="R3" t="s">
        <v>165</v>
      </c>
      <c r="S3">
        <v>3100</v>
      </c>
      <c r="T3">
        <v>25000</v>
      </c>
      <c r="U3" t="s">
        <v>148</v>
      </c>
      <c r="W3" t="s">
        <v>150</v>
      </c>
      <c r="X3" t="s">
        <v>166</v>
      </c>
      <c r="Y3">
        <v>3</v>
      </c>
      <c r="Z3">
        <v>7500</v>
      </c>
      <c r="AA3">
        <v>22500</v>
      </c>
      <c r="AB3" t="s">
        <v>148</v>
      </c>
      <c r="AD3" t="s">
        <v>150</v>
      </c>
      <c r="AE3" t="s">
        <v>167</v>
      </c>
      <c r="AF3">
        <v>3000</v>
      </c>
      <c r="AG3">
        <v>18</v>
      </c>
      <c r="AH3">
        <v>54000</v>
      </c>
      <c r="AI3">
        <v>2950</v>
      </c>
      <c r="AJ3">
        <v>50</v>
      </c>
      <c r="AK3" t="s">
        <v>148</v>
      </c>
      <c r="AM3" t="s">
        <v>150</v>
      </c>
      <c r="AN3">
        <v>3000</v>
      </c>
      <c r="AO3">
        <v>7</v>
      </c>
      <c r="AP3">
        <v>21000</v>
      </c>
      <c r="AQ3">
        <v>20</v>
      </c>
      <c r="AR3" t="s">
        <v>148</v>
      </c>
      <c r="AT3" t="s">
        <v>152</v>
      </c>
      <c r="AU3" t="s">
        <v>168</v>
      </c>
      <c r="AV3" t="s">
        <v>165</v>
      </c>
      <c r="AW3">
        <v>3000</v>
      </c>
      <c r="AX3">
        <v>10</v>
      </c>
      <c r="AY3">
        <v>30000</v>
      </c>
      <c r="AZ3">
        <v>15</v>
      </c>
      <c r="BA3" t="s">
        <v>148</v>
      </c>
      <c r="BC3" t="s">
        <v>152</v>
      </c>
      <c r="BD3">
        <v>8</v>
      </c>
      <c r="BE3">
        <v>5</v>
      </c>
      <c r="BF3">
        <v>3000</v>
      </c>
      <c r="BG3">
        <v>20</v>
      </c>
      <c r="BH3">
        <v>60000</v>
      </c>
      <c r="BI3" t="s">
        <v>148</v>
      </c>
      <c r="BK3" t="s">
        <v>154</v>
      </c>
      <c r="BL3">
        <v>2950</v>
      </c>
      <c r="BM3">
        <v>15000</v>
      </c>
      <c r="BN3" t="s">
        <v>148</v>
      </c>
      <c r="BO3" t="s">
        <v>111</v>
      </c>
      <c r="BP3" t="s">
        <v>154</v>
      </c>
      <c r="BQ3" t="s">
        <v>169</v>
      </c>
      <c r="BR3">
        <v>2950</v>
      </c>
      <c r="BS3">
        <v>4</v>
      </c>
      <c r="BT3">
        <v>11800</v>
      </c>
      <c r="BU3" t="s">
        <v>170</v>
      </c>
      <c r="BV3" t="s">
        <v>157</v>
      </c>
      <c r="BW3">
        <v>60</v>
      </c>
      <c r="BX3">
        <v>250</v>
      </c>
      <c r="BY3">
        <v>15000</v>
      </c>
      <c r="BZ3" t="s">
        <v>148</v>
      </c>
      <c r="CB3" t="s">
        <v>157</v>
      </c>
      <c r="CC3">
        <v>2950</v>
      </c>
      <c r="CD3">
        <v>2920</v>
      </c>
      <c r="CE3">
        <v>5</v>
      </c>
      <c r="CF3">
        <v>14600</v>
      </c>
      <c r="CG3">
        <v>30</v>
      </c>
      <c r="CH3" t="s">
        <v>148</v>
      </c>
      <c r="CJ3">
        <v>135</v>
      </c>
      <c r="CK3">
        <v>3000</v>
      </c>
      <c r="CL3">
        <v>-50</v>
      </c>
      <c r="CM3">
        <v>522900</v>
      </c>
      <c r="CN3">
        <v>700000</v>
      </c>
      <c r="CO3">
        <v>177100</v>
      </c>
    </row>
    <row r="4" spans="1:93">
      <c r="F4" t="s">
        <v>171</v>
      </c>
      <c r="G4" t="s">
        <v>172</v>
      </c>
      <c r="K4" t="s">
        <v>173</v>
      </c>
      <c r="L4" s="3">
        <v>43000</v>
      </c>
    </row>
    <row r="5" spans="1:93">
      <c r="K5" t="s">
        <v>174</v>
      </c>
      <c r="L5" s="3">
        <v>48500</v>
      </c>
    </row>
    <row r="6" spans="1:93">
      <c r="K6" t="s">
        <v>175</v>
      </c>
      <c r="L6" s="3">
        <v>25500</v>
      </c>
    </row>
    <row r="7" spans="1:93">
      <c r="K7" t="s">
        <v>176</v>
      </c>
      <c r="L7" s="3">
        <v>27500</v>
      </c>
    </row>
    <row r="8" spans="1:93">
      <c r="K8" t="s">
        <v>177</v>
      </c>
      <c r="L8" s="3">
        <v>28000</v>
      </c>
    </row>
    <row r="9" spans="1:93">
      <c r="K9" t="s">
        <v>178</v>
      </c>
      <c r="L9" s="3">
        <v>30000</v>
      </c>
    </row>
    <row r="10" spans="1:93">
      <c r="K10" t="s">
        <v>179</v>
      </c>
      <c r="L10" s="3">
        <v>30000</v>
      </c>
    </row>
    <row r="11" spans="1:93">
      <c r="K11" t="s">
        <v>180</v>
      </c>
      <c r="L11" s="3">
        <v>34000</v>
      </c>
    </row>
    <row r="12" spans="1:93">
      <c r="K12" t="s">
        <v>181</v>
      </c>
      <c r="L12" s="3">
        <v>19000</v>
      </c>
    </row>
    <row r="13" spans="1:93">
      <c r="K13" t="s">
        <v>182</v>
      </c>
      <c r="L13" s="3">
        <v>23500</v>
      </c>
    </row>
    <row r="14" spans="1:93">
      <c r="K14" t="s">
        <v>183</v>
      </c>
      <c r="L14" s="3">
        <v>14000</v>
      </c>
    </row>
    <row r="15" spans="1:93">
      <c r="K15" t="s">
        <v>184</v>
      </c>
      <c r="L15" s="3">
        <v>25000</v>
      </c>
    </row>
    <row r="16" spans="1:93">
      <c r="K16" t="s">
        <v>185</v>
      </c>
      <c r="L16" s="3">
        <v>25000</v>
      </c>
    </row>
    <row r="17" spans="11:12">
      <c r="K17" t="s">
        <v>186</v>
      </c>
      <c r="L17" s="3">
        <v>12000</v>
      </c>
    </row>
    <row r="18" spans="11:12">
      <c r="K18" t="s">
        <v>187</v>
      </c>
      <c r="L18" s="3">
        <v>21000</v>
      </c>
    </row>
    <row r="19" spans="11:12">
      <c r="K19" t="s">
        <v>188</v>
      </c>
    </row>
    <row r="20" spans="11:12">
      <c r="K20" t="s">
        <v>189</v>
      </c>
    </row>
    <row r="21" spans="11:12">
      <c r="K21" t="s">
        <v>190</v>
      </c>
    </row>
    <row r="22" spans="11:12">
      <c r="K22" t="s">
        <v>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682B-0CC9-2441-8607-7BA8118B8D14}">
  <dimension ref="B1:CX36"/>
  <sheetViews>
    <sheetView tabSelected="1" topLeftCell="AB23" workbookViewId="0">
      <selection activeCell="D33" sqref="D33"/>
    </sheetView>
  </sheetViews>
  <sheetFormatPr defaultColWidth="10.85546875" defaultRowHeight="14.45"/>
  <cols>
    <col min="1" max="1" width="6.42578125" customWidth="1"/>
    <col min="2" max="2" width="22.140625" bestFit="1" customWidth="1"/>
    <col min="3" max="3" width="15.85546875" bestFit="1" customWidth="1"/>
    <col min="4" max="4" width="11.5703125" bestFit="1" customWidth="1"/>
    <col min="5" max="5" width="15.85546875" bestFit="1" customWidth="1"/>
    <col min="6" max="6" width="10.42578125" bestFit="1" customWidth="1"/>
    <col min="7" max="7" width="5.42578125" customWidth="1"/>
    <col min="8" max="8" width="9" bestFit="1" customWidth="1"/>
    <col min="9" max="9" width="7.5703125" bestFit="1" customWidth="1"/>
    <col min="10" max="10" width="14.42578125" customWidth="1"/>
    <col min="11" max="11" width="5.140625" customWidth="1"/>
    <col min="12" max="12" width="5.140625" bestFit="1" customWidth="1"/>
    <col min="13" max="13" width="14.42578125" customWidth="1"/>
    <col min="14" max="14" width="5.85546875" customWidth="1"/>
    <col min="15" max="15" width="12.42578125" bestFit="1" customWidth="1"/>
    <col min="16" max="16" width="12.85546875" bestFit="1" customWidth="1"/>
    <col min="17" max="17" width="5.42578125" customWidth="1"/>
    <col min="18" max="18" width="15.42578125" bestFit="1" customWidth="1"/>
    <col min="19" max="19" width="8.85546875" bestFit="1" customWidth="1"/>
    <col min="20" max="20" width="9.42578125" bestFit="1" customWidth="1"/>
    <col min="21" max="21" width="17" bestFit="1" customWidth="1"/>
    <col min="22" max="22" width="5.5703125" customWidth="1"/>
    <col min="23" max="23" width="10" bestFit="1" customWidth="1"/>
    <col min="24" max="24" width="11.42578125" bestFit="1" customWidth="1"/>
    <col min="25" max="25" width="5.42578125" customWidth="1"/>
    <col min="26" max="26" width="12.42578125" bestFit="1" customWidth="1"/>
    <col min="27" max="27" width="10.85546875" bestFit="1" customWidth="1"/>
    <col min="28" max="28" width="7.42578125" bestFit="1" customWidth="1"/>
    <col min="29" max="29" width="11.42578125" bestFit="1" customWidth="1"/>
    <col min="30" max="30" width="10" bestFit="1" customWidth="1"/>
    <col min="32" max="32" width="8.140625" bestFit="1" customWidth="1"/>
    <col min="33" max="33" width="7.42578125" bestFit="1" customWidth="1"/>
    <col min="34" max="34" width="7.140625" bestFit="1" customWidth="1"/>
    <col min="35" max="35" width="8" bestFit="1" customWidth="1"/>
    <col min="36" max="36" width="11.140625" bestFit="1" customWidth="1"/>
    <col min="37" max="37" width="9.85546875" bestFit="1" customWidth="1"/>
    <col min="39" max="39" width="9.85546875" bestFit="1" customWidth="1"/>
    <col min="40" max="40" width="14" bestFit="1" customWidth="1"/>
    <col min="41" max="41" width="13.5703125" bestFit="1" customWidth="1"/>
    <col min="42" max="42" width="9.5703125" bestFit="1" customWidth="1"/>
    <col min="43" max="43" width="12.85546875" bestFit="1" customWidth="1"/>
    <col min="44" max="44" width="14.5703125" bestFit="1" customWidth="1"/>
    <col min="45" max="45" width="11.140625" bestFit="1" customWidth="1"/>
    <col min="46" max="46" width="11.42578125" bestFit="1" customWidth="1"/>
    <col min="49" max="49" width="8.85546875" bestFit="1" customWidth="1"/>
    <col min="50" max="50" width="10.5703125" bestFit="1" customWidth="1"/>
    <col min="51" max="51" width="13.85546875" bestFit="1" customWidth="1"/>
    <col min="52" max="52" width="12.140625" bestFit="1" customWidth="1"/>
    <col min="53" max="53" width="12.42578125" bestFit="1" customWidth="1"/>
    <col min="55" max="55" width="8.5703125" bestFit="1" customWidth="1"/>
    <col min="56" max="56" width="14.5703125" bestFit="1" customWidth="1"/>
    <col min="57" max="57" width="9" bestFit="1" customWidth="1"/>
    <col min="58" max="58" width="7.5703125" bestFit="1" customWidth="1"/>
    <col min="59" max="59" width="8.42578125" bestFit="1" customWidth="1"/>
    <col min="60" max="60" width="11.5703125" bestFit="1" customWidth="1"/>
    <col min="61" max="61" width="10" bestFit="1" customWidth="1"/>
    <col min="62" max="62" width="10.42578125" bestFit="1" customWidth="1"/>
    <col min="64" max="64" width="11.42578125" bestFit="1" customWidth="1"/>
    <col min="65" max="65" width="7.140625" bestFit="1" customWidth="1"/>
    <col min="66" max="66" width="8.140625" bestFit="1" customWidth="1"/>
    <col min="67" max="67" width="10.42578125" bestFit="1" customWidth="1"/>
    <col min="68" max="68" width="12.140625" bestFit="1" customWidth="1"/>
    <col min="69" max="69" width="14.42578125" bestFit="1" customWidth="1"/>
    <col min="70" max="70" width="13" bestFit="1" customWidth="1"/>
    <col min="72" max="72" width="12.42578125" bestFit="1" customWidth="1"/>
    <col min="73" max="73" width="11.42578125" bestFit="1" customWidth="1"/>
    <col min="74" max="74" width="15.42578125" bestFit="1" customWidth="1"/>
    <col min="75" max="75" width="14" bestFit="1" customWidth="1"/>
    <col min="76" max="76" width="2.85546875" bestFit="1" customWidth="1"/>
    <col min="77" max="77" width="8.42578125" bestFit="1" customWidth="1"/>
    <col min="78" max="78" width="7.5703125" bestFit="1" customWidth="1"/>
    <col min="79" max="79" width="7.42578125" bestFit="1" customWidth="1"/>
    <col min="80" max="80" width="8.42578125" bestFit="1" customWidth="1"/>
    <col min="81" max="81" width="11.42578125" bestFit="1" customWidth="1"/>
    <col min="82" max="82" width="19.140625" bestFit="1" customWidth="1"/>
    <col min="83" max="83" width="11.42578125" bestFit="1" customWidth="1"/>
    <col min="84" max="84" width="10.42578125" bestFit="1" customWidth="1"/>
    <col min="85" max="85" width="11.42578125" bestFit="1" customWidth="1"/>
    <col min="86" max="86" width="14.42578125" bestFit="1" customWidth="1"/>
    <col min="87" max="87" width="13.140625" bestFit="1" customWidth="1"/>
    <col min="89" max="89" width="10.42578125" bestFit="1" customWidth="1"/>
    <col min="90" max="91" width="11.42578125" bestFit="1" customWidth="1"/>
    <col min="92" max="92" width="10.140625" bestFit="1" customWidth="1"/>
    <col min="93" max="93" width="13.42578125" bestFit="1" customWidth="1"/>
    <col min="94" max="94" width="5.85546875" customWidth="1"/>
    <col min="95" max="95" width="22.140625" bestFit="1" customWidth="1"/>
    <col min="96" max="96" width="11.5703125" bestFit="1" customWidth="1"/>
    <col min="97" max="97" width="15.85546875" bestFit="1" customWidth="1"/>
    <col min="98" max="98" width="10.42578125" bestFit="1" customWidth="1"/>
    <col min="99" max="99" width="6.42578125" bestFit="1" customWidth="1"/>
    <col min="100" max="100" width="10" bestFit="1" customWidth="1"/>
    <col min="101" max="101" width="10.140625" bestFit="1" customWidth="1"/>
  </cols>
  <sheetData>
    <row r="1" spans="2:102">
      <c r="B1" s="10" t="s">
        <v>62</v>
      </c>
      <c r="C1" s="10" t="s">
        <v>192</v>
      </c>
      <c r="D1" s="10" t="s">
        <v>193</v>
      </c>
      <c r="E1" s="10" t="s">
        <v>194</v>
      </c>
      <c r="F1" s="10" t="s">
        <v>195</v>
      </c>
      <c r="G1" s="11"/>
      <c r="H1" s="10" t="s">
        <v>68</v>
      </c>
      <c r="I1" s="10" t="s">
        <v>69</v>
      </c>
      <c r="J1" s="10" t="s">
        <v>196</v>
      </c>
      <c r="K1" s="11"/>
      <c r="L1" s="10" t="s">
        <v>197</v>
      </c>
      <c r="M1" s="10" t="s">
        <v>198</v>
      </c>
      <c r="N1" s="11"/>
      <c r="O1" s="10" t="s">
        <v>199</v>
      </c>
      <c r="P1" s="10" t="s">
        <v>198</v>
      </c>
      <c r="Q1" s="11"/>
      <c r="R1" s="10" t="s">
        <v>93</v>
      </c>
      <c r="S1" s="10" t="s">
        <v>200</v>
      </c>
      <c r="T1" s="10" t="s">
        <v>201</v>
      </c>
      <c r="U1" s="10" t="s">
        <v>202</v>
      </c>
      <c r="V1" s="11"/>
      <c r="W1" s="10" t="s">
        <v>203</v>
      </c>
      <c r="X1" s="10" t="s">
        <v>204</v>
      </c>
      <c r="Y1" s="11"/>
      <c r="Z1" s="10" t="s">
        <v>205</v>
      </c>
      <c r="AA1" s="10" t="s">
        <v>206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U1" s="2"/>
      <c r="CV1" s="2"/>
      <c r="CW1" s="2"/>
      <c r="CX1" s="2"/>
    </row>
    <row r="2" spans="2:102">
      <c r="B2" t="s">
        <v>144</v>
      </c>
      <c r="C2" t="s">
        <v>207</v>
      </c>
      <c r="D2" s="3">
        <v>47000</v>
      </c>
      <c r="E2" s="2">
        <v>100</v>
      </c>
      <c r="F2" s="4">
        <f>D2/E2</f>
        <v>470</v>
      </c>
      <c r="G2" s="5"/>
      <c r="H2" t="s">
        <v>208</v>
      </c>
      <c r="J2" s="2" t="s">
        <v>209</v>
      </c>
      <c r="K2" s="5"/>
      <c r="L2" t="s">
        <v>210</v>
      </c>
      <c r="M2" s="4">
        <v>1750</v>
      </c>
      <c r="N2" s="5"/>
      <c r="O2" s="2" t="s">
        <v>210</v>
      </c>
      <c r="P2" s="4">
        <v>2000</v>
      </c>
      <c r="Q2" s="5"/>
      <c r="R2" s="2" t="s">
        <v>211</v>
      </c>
      <c r="S2" t="s">
        <v>208</v>
      </c>
      <c r="T2">
        <v>40</v>
      </c>
      <c r="U2" s="4">
        <v>50</v>
      </c>
      <c r="V2" s="5"/>
      <c r="W2" t="s">
        <v>208</v>
      </c>
      <c r="X2" s="2" t="s">
        <v>212</v>
      </c>
      <c r="Y2" s="5"/>
      <c r="Z2" s="2" t="s">
        <v>213</v>
      </c>
      <c r="AA2" s="2">
        <v>18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U2" s="2"/>
      <c r="CV2" s="2"/>
      <c r="CW2" s="2"/>
      <c r="CX2" s="2"/>
    </row>
    <row r="3" spans="2:102">
      <c r="B3" t="s">
        <v>189</v>
      </c>
      <c r="C3" t="s">
        <v>207</v>
      </c>
      <c r="D3" s="3">
        <v>50000</v>
      </c>
      <c r="E3" s="2">
        <v>100</v>
      </c>
      <c r="F3" s="4">
        <f t="shared" ref="F3:F21" si="0">D3/E3</f>
        <v>500</v>
      </c>
      <c r="G3" s="5"/>
      <c r="H3" t="s">
        <v>214</v>
      </c>
      <c r="J3" s="2" t="s">
        <v>215</v>
      </c>
      <c r="K3" s="5"/>
      <c r="L3" t="s">
        <v>216</v>
      </c>
      <c r="M3" s="4">
        <v>1750</v>
      </c>
      <c r="N3" s="5"/>
      <c r="O3" s="2" t="s">
        <v>216</v>
      </c>
      <c r="P3" s="4">
        <v>4000</v>
      </c>
      <c r="Q3" s="5"/>
      <c r="R3" s="2" t="s">
        <v>211</v>
      </c>
      <c r="S3" t="s">
        <v>214</v>
      </c>
      <c r="T3">
        <v>18</v>
      </c>
      <c r="U3" s="4">
        <v>24</v>
      </c>
      <c r="V3" s="5"/>
      <c r="W3" t="s">
        <v>214</v>
      </c>
      <c r="X3" s="2" t="s">
        <v>217</v>
      </c>
      <c r="Y3" s="5"/>
      <c r="Z3" s="2" t="s">
        <v>218</v>
      </c>
      <c r="AA3" s="2">
        <v>12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U3" s="2"/>
      <c r="CV3" s="2"/>
      <c r="CW3" s="2"/>
      <c r="CX3" s="2"/>
    </row>
    <row r="4" spans="2:102">
      <c r="B4" t="s">
        <v>164</v>
      </c>
      <c r="C4" t="s">
        <v>207</v>
      </c>
      <c r="D4" s="3">
        <v>55000</v>
      </c>
      <c r="E4" s="2">
        <v>100</v>
      </c>
      <c r="F4" s="4">
        <f t="shared" si="0"/>
        <v>550</v>
      </c>
      <c r="G4" s="5"/>
      <c r="H4" t="s">
        <v>219</v>
      </c>
      <c r="J4" s="2" t="s">
        <v>220</v>
      </c>
      <c r="K4" s="5"/>
      <c r="L4" t="s">
        <v>221</v>
      </c>
      <c r="M4" s="4">
        <v>2000</v>
      </c>
      <c r="N4" s="5"/>
      <c r="O4" s="2" t="s">
        <v>221</v>
      </c>
      <c r="P4" s="4">
        <v>6000</v>
      </c>
      <c r="Q4" s="5"/>
      <c r="R4" s="2" t="s">
        <v>211</v>
      </c>
      <c r="S4" t="s">
        <v>219</v>
      </c>
      <c r="T4">
        <v>15</v>
      </c>
      <c r="U4" s="4">
        <v>18</v>
      </c>
      <c r="V4" s="5"/>
      <c r="W4" t="s">
        <v>219</v>
      </c>
      <c r="X4" s="2" t="s">
        <v>222</v>
      </c>
      <c r="Y4" s="5"/>
      <c r="Z4" s="2" t="s">
        <v>223</v>
      </c>
      <c r="AA4" s="2">
        <v>5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U4" s="2"/>
      <c r="CV4" s="2"/>
      <c r="CW4" s="2"/>
      <c r="CX4" s="2"/>
    </row>
    <row r="5" spans="2:102">
      <c r="B5" t="s">
        <v>173</v>
      </c>
      <c r="C5" t="s">
        <v>207</v>
      </c>
      <c r="D5" s="3">
        <v>60000</v>
      </c>
      <c r="E5" s="2">
        <v>100</v>
      </c>
      <c r="F5" s="4">
        <f t="shared" si="0"/>
        <v>600</v>
      </c>
      <c r="G5" s="6"/>
      <c r="H5" t="s">
        <v>224</v>
      </c>
      <c r="K5" s="6"/>
      <c r="L5" t="s">
        <v>225</v>
      </c>
      <c r="M5" s="4">
        <v>5000</v>
      </c>
      <c r="N5" s="6"/>
      <c r="O5" s="2" t="s">
        <v>225</v>
      </c>
      <c r="P5" s="4">
        <v>7500</v>
      </c>
      <c r="Q5" s="6"/>
      <c r="R5" s="2" t="s">
        <v>211</v>
      </c>
      <c r="S5" t="s">
        <v>224</v>
      </c>
      <c r="T5">
        <v>14</v>
      </c>
      <c r="U5" s="4">
        <v>17</v>
      </c>
      <c r="V5" s="6"/>
      <c r="W5" t="s">
        <v>224</v>
      </c>
      <c r="Y5" s="6"/>
      <c r="Z5" s="2" t="s">
        <v>226</v>
      </c>
      <c r="AA5" s="2">
        <v>4</v>
      </c>
    </row>
    <row r="6" spans="2:102">
      <c r="B6" t="s">
        <v>174</v>
      </c>
      <c r="C6" t="s">
        <v>207</v>
      </c>
      <c r="D6" s="3">
        <v>65000</v>
      </c>
      <c r="E6" s="2">
        <v>100</v>
      </c>
      <c r="F6" s="4">
        <f t="shared" si="0"/>
        <v>650</v>
      </c>
      <c r="G6" s="6"/>
      <c r="H6" t="s">
        <v>227</v>
      </c>
      <c r="K6" s="6"/>
      <c r="L6" t="s">
        <v>228</v>
      </c>
      <c r="M6" s="4">
        <v>1750</v>
      </c>
      <c r="N6" s="6"/>
      <c r="O6" s="2" t="s">
        <v>229</v>
      </c>
      <c r="P6" s="4">
        <v>350</v>
      </c>
      <c r="Q6" s="6"/>
      <c r="R6" s="2" t="s">
        <v>211</v>
      </c>
      <c r="S6" t="s">
        <v>227</v>
      </c>
      <c r="T6">
        <v>25</v>
      </c>
      <c r="U6" s="4">
        <v>30</v>
      </c>
      <c r="V6" s="6"/>
      <c r="W6" t="s">
        <v>227</v>
      </c>
      <c r="Y6" s="6"/>
      <c r="Z6" s="2" t="s">
        <v>230</v>
      </c>
      <c r="AA6" t="s">
        <v>231</v>
      </c>
    </row>
    <row r="7" spans="2:102">
      <c r="B7" t="s">
        <v>175</v>
      </c>
      <c r="C7" t="s">
        <v>207</v>
      </c>
      <c r="D7" s="3">
        <v>25500</v>
      </c>
      <c r="E7" s="2">
        <v>100</v>
      </c>
      <c r="F7" s="4">
        <f t="shared" si="0"/>
        <v>255</v>
      </c>
      <c r="G7" s="6"/>
      <c r="H7" t="s">
        <v>232</v>
      </c>
      <c r="K7" s="6"/>
      <c r="N7" s="6"/>
      <c r="O7" s="2" t="s">
        <v>233</v>
      </c>
      <c r="P7" s="4">
        <v>500</v>
      </c>
      <c r="Q7" s="6"/>
      <c r="R7" s="2" t="s">
        <v>211</v>
      </c>
      <c r="S7" t="s">
        <v>232</v>
      </c>
      <c r="T7">
        <v>12</v>
      </c>
      <c r="U7" s="4">
        <v>15</v>
      </c>
      <c r="V7" s="6"/>
      <c r="W7" t="s">
        <v>232</v>
      </c>
      <c r="Y7" s="6"/>
    </row>
    <row r="8" spans="2:102">
      <c r="B8" t="s">
        <v>176</v>
      </c>
      <c r="C8" t="s">
        <v>207</v>
      </c>
      <c r="D8" s="3">
        <v>27500</v>
      </c>
      <c r="E8" s="2">
        <v>100</v>
      </c>
      <c r="F8" s="4">
        <f t="shared" si="0"/>
        <v>275</v>
      </c>
      <c r="G8" s="6"/>
      <c r="H8" t="s">
        <v>234</v>
      </c>
      <c r="K8" s="6"/>
      <c r="N8" s="6"/>
      <c r="O8" s="2" t="s">
        <v>235</v>
      </c>
      <c r="P8" s="4">
        <v>60</v>
      </c>
      <c r="Q8" s="6"/>
      <c r="R8" s="2" t="s">
        <v>211</v>
      </c>
      <c r="S8" t="s">
        <v>234</v>
      </c>
      <c r="T8">
        <v>18</v>
      </c>
      <c r="U8" s="4">
        <v>22</v>
      </c>
      <c r="V8" s="6"/>
      <c r="W8" t="s">
        <v>234</v>
      </c>
      <c r="Y8" s="6"/>
    </row>
    <row r="9" spans="2:102">
      <c r="B9" t="s">
        <v>177</v>
      </c>
      <c r="C9" t="s">
        <v>236</v>
      </c>
      <c r="D9" s="3">
        <v>28000</v>
      </c>
      <c r="E9" s="2">
        <v>500</v>
      </c>
      <c r="F9" s="4">
        <f t="shared" si="0"/>
        <v>56</v>
      </c>
      <c r="G9" s="6"/>
      <c r="H9" t="s">
        <v>237</v>
      </c>
      <c r="K9" s="6"/>
      <c r="N9" s="6"/>
      <c r="O9" s="2" t="s">
        <v>228</v>
      </c>
      <c r="P9" s="4">
        <v>2000</v>
      </c>
      <c r="Q9" s="6"/>
      <c r="R9" s="2" t="s">
        <v>211</v>
      </c>
      <c r="S9" t="s">
        <v>237</v>
      </c>
      <c r="T9">
        <v>25</v>
      </c>
      <c r="U9" s="4">
        <v>30</v>
      </c>
      <c r="V9" s="6"/>
      <c r="W9" t="s">
        <v>237</v>
      </c>
      <c r="Y9" s="6"/>
    </row>
    <row r="10" spans="2:102">
      <c r="B10" t="s">
        <v>178</v>
      </c>
      <c r="C10" t="s">
        <v>236</v>
      </c>
      <c r="D10" s="3">
        <v>30000</v>
      </c>
      <c r="E10" s="2">
        <v>500</v>
      </c>
      <c r="F10" s="4">
        <f t="shared" si="0"/>
        <v>60</v>
      </c>
      <c r="G10" s="6"/>
      <c r="H10" t="s">
        <v>238</v>
      </c>
      <c r="K10" s="6"/>
      <c r="N10" s="6"/>
      <c r="Q10" s="6"/>
      <c r="R10" s="2" t="s">
        <v>211</v>
      </c>
      <c r="S10" t="s">
        <v>238</v>
      </c>
      <c r="T10">
        <v>18</v>
      </c>
      <c r="U10" s="4">
        <v>22</v>
      </c>
      <c r="V10" s="6"/>
      <c r="W10" t="s">
        <v>238</v>
      </c>
      <c r="Y10" s="6"/>
    </row>
    <row r="11" spans="2:102">
      <c r="B11" t="s">
        <v>179</v>
      </c>
      <c r="C11" t="s">
        <v>236</v>
      </c>
      <c r="D11" s="3">
        <v>30000</v>
      </c>
      <c r="E11" s="2">
        <v>500</v>
      </c>
      <c r="F11" s="4">
        <f t="shared" si="0"/>
        <v>60</v>
      </c>
      <c r="G11" s="6"/>
      <c r="H11" t="s">
        <v>239</v>
      </c>
      <c r="K11" s="6"/>
      <c r="N11" s="6"/>
      <c r="Q11" s="6"/>
      <c r="R11" s="2" t="s">
        <v>211</v>
      </c>
      <c r="S11" t="s">
        <v>239</v>
      </c>
      <c r="T11">
        <v>10</v>
      </c>
      <c r="U11" s="4">
        <v>15</v>
      </c>
      <c r="V11" s="6"/>
      <c r="W11" t="s">
        <v>239</v>
      </c>
      <c r="Y11" s="6"/>
    </row>
    <row r="12" spans="2:102">
      <c r="B12" t="s">
        <v>180</v>
      </c>
      <c r="C12" t="s">
        <v>236</v>
      </c>
      <c r="D12" s="3">
        <v>34000</v>
      </c>
      <c r="E12" s="2">
        <v>500</v>
      </c>
      <c r="F12" s="4">
        <f t="shared" si="0"/>
        <v>68</v>
      </c>
      <c r="G12" s="6"/>
      <c r="H12" t="s">
        <v>240</v>
      </c>
      <c r="K12" s="6"/>
      <c r="N12" s="6"/>
      <c r="Q12" s="6"/>
      <c r="R12" s="2" t="s">
        <v>211</v>
      </c>
      <c r="S12" t="s">
        <v>240</v>
      </c>
      <c r="T12">
        <v>8</v>
      </c>
      <c r="U12" s="4">
        <v>15</v>
      </c>
      <c r="V12" s="6"/>
      <c r="W12" t="s">
        <v>240</v>
      </c>
      <c r="Y12" s="6"/>
    </row>
    <row r="13" spans="2:102">
      <c r="B13" t="s">
        <v>181</v>
      </c>
      <c r="C13" t="s">
        <v>236</v>
      </c>
      <c r="D13" s="3">
        <v>48000</v>
      </c>
      <c r="E13" s="2">
        <v>500</v>
      </c>
      <c r="F13" s="4">
        <f t="shared" si="0"/>
        <v>96</v>
      </c>
      <c r="G13" s="6"/>
      <c r="H13" t="s">
        <v>241</v>
      </c>
      <c r="K13" s="6"/>
      <c r="N13" s="6"/>
      <c r="Q13" s="6"/>
      <c r="R13" s="2" t="s">
        <v>211</v>
      </c>
      <c r="S13" t="s">
        <v>241</v>
      </c>
      <c r="T13">
        <v>14</v>
      </c>
      <c r="U13" s="4">
        <v>18</v>
      </c>
      <c r="V13" s="6"/>
      <c r="W13" t="s">
        <v>241</v>
      </c>
      <c r="Y13" s="6"/>
    </row>
    <row r="14" spans="2:102">
      <c r="B14" t="s">
        <v>182</v>
      </c>
      <c r="C14" t="s">
        <v>236</v>
      </c>
      <c r="D14" s="3">
        <v>55000</v>
      </c>
      <c r="E14" s="2">
        <v>500</v>
      </c>
      <c r="F14" s="4">
        <f t="shared" si="0"/>
        <v>110</v>
      </c>
      <c r="G14" s="6"/>
      <c r="H14" t="s">
        <v>242</v>
      </c>
      <c r="K14" s="6"/>
      <c r="N14" s="6"/>
      <c r="Q14" s="6"/>
      <c r="R14" s="2" t="s">
        <v>211</v>
      </c>
      <c r="S14" t="s">
        <v>242</v>
      </c>
      <c r="T14">
        <v>18</v>
      </c>
      <c r="U14" s="4">
        <v>22</v>
      </c>
      <c r="V14" s="6"/>
      <c r="W14" t="s">
        <v>242</v>
      </c>
      <c r="Y14" s="6"/>
    </row>
    <row r="15" spans="2:102">
      <c r="B15" t="s">
        <v>183</v>
      </c>
      <c r="C15" t="s">
        <v>243</v>
      </c>
      <c r="D15" s="3">
        <v>20000</v>
      </c>
      <c r="E15" s="2">
        <v>100</v>
      </c>
      <c r="F15" s="4">
        <f t="shared" si="0"/>
        <v>200</v>
      </c>
      <c r="G15" s="6"/>
      <c r="H15" t="s">
        <v>244</v>
      </c>
      <c r="K15" s="6"/>
      <c r="N15" s="6"/>
      <c r="Q15" s="6"/>
      <c r="R15" s="2" t="s">
        <v>211</v>
      </c>
      <c r="S15" t="s">
        <v>244</v>
      </c>
      <c r="T15">
        <v>40</v>
      </c>
      <c r="U15" s="4">
        <v>45</v>
      </c>
      <c r="V15" s="6"/>
      <c r="W15" t="s">
        <v>244</v>
      </c>
      <c r="Y15" s="6"/>
    </row>
    <row r="16" spans="2:102">
      <c r="B16" t="s">
        <v>184</v>
      </c>
      <c r="C16" t="s">
        <v>245</v>
      </c>
      <c r="D16" s="3">
        <v>45000</v>
      </c>
      <c r="E16" s="2">
        <v>500</v>
      </c>
      <c r="F16" s="4">
        <f t="shared" si="0"/>
        <v>90</v>
      </c>
      <c r="G16" s="6"/>
      <c r="H16" t="s">
        <v>246</v>
      </c>
      <c r="K16" s="6"/>
      <c r="N16" s="6"/>
      <c r="Q16" s="6"/>
      <c r="R16" s="2" t="s">
        <v>211</v>
      </c>
      <c r="S16" t="s">
        <v>246</v>
      </c>
      <c r="T16">
        <v>42</v>
      </c>
      <c r="U16" s="4">
        <v>48</v>
      </c>
      <c r="V16" s="6"/>
      <c r="W16" t="s">
        <v>246</v>
      </c>
      <c r="Y16" s="6"/>
    </row>
    <row r="17" spans="2:25">
      <c r="B17" t="s">
        <v>185</v>
      </c>
      <c r="C17" t="s">
        <v>245</v>
      </c>
      <c r="D17" s="3">
        <v>50000</v>
      </c>
      <c r="E17" s="2">
        <v>500</v>
      </c>
      <c r="F17" s="4">
        <f t="shared" si="0"/>
        <v>100</v>
      </c>
      <c r="G17" s="6"/>
      <c r="H17" t="s">
        <v>236</v>
      </c>
      <c r="K17" s="6"/>
      <c r="N17" s="6"/>
      <c r="Q17" s="6"/>
      <c r="R17" s="2" t="s">
        <v>211</v>
      </c>
      <c r="S17" t="s">
        <v>236</v>
      </c>
      <c r="T17">
        <v>50</v>
      </c>
      <c r="U17" s="4">
        <v>55</v>
      </c>
      <c r="V17" s="6"/>
      <c r="W17" t="s">
        <v>236</v>
      </c>
      <c r="Y17" s="6"/>
    </row>
    <row r="18" spans="2:25">
      <c r="B18" t="s">
        <v>247</v>
      </c>
      <c r="C18" t="s">
        <v>248</v>
      </c>
      <c r="D18" s="3">
        <v>24000</v>
      </c>
      <c r="E18" s="2">
        <v>100</v>
      </c>
      <c r="F18" s="4">
        <f t="shared" si="0"/>
        <v>240</v>
      </c>
      <c r="G18" s="6"/>
      <c r="K18" s="6"/>
      <c r="N18" s="6"/>
      <c r="Q18" s="6"/>
      <c r="V18" s="6"/>
      <c r="Y18" s="6"/>
    </row>
    <row r="19" spans="2:25">
      <c r="B19" t="s">
        <v>249</v>
      </c>
      <c r="C19" t="s">
        <v>250</v>
      </c>
      <c r="D19" s="3">
        <v>35000</v>
      </c>
      <c r="E19" s="2">
        <v>100</v>
      </c>
      <c r="F19" s="4">
        <f t="shared" si="0"/>
        <v>350</v>
      </c>
      <c r="G19" s="6"/>
      <c r="K19" s="6"/>
      <c r="N19" s="6"/>
      <c r="Q19" s="6"/>
      <c r="V19" s="6"/>
      <c r="Y19" s="6"/>
    </row>
    <row r="20" spans="2:25">
      <c r="B20" t="s">
        <v>187</v>
      </c>
      <c r="C20" t="s">
        <v>207</v>
      </c>
      <c r="D20" s="3">
        <v>85000</v>
      </c>
      <c r="E20" s="2">
        <v>100</v>
      </c>
      <c r="F20" s="4">
        <f t="shared" si="0"/>
        <v>850</v>
      </c>
      <c r="G20" s="6"/>
      <c r="K20" s="6"/>
      <c r="N20" s="6"/>
      <c r="Q20" s="6"/>
      <c r="V20" s="6"/>
      <c r="Y20" s="6"/>
    </row>
    <row r="21" spans="2:25">
      <c r="B21" t="s">
        <v>190</v>
      </c>
      <c r="C21" t="s">
        <v>251</v>
      </c>
      <c r="D21" s="3">
        <v>65000</v>
      </c>
      <c r="E21" s="2">
        <v>460</v>
      </c>
      <c r="F21" s="4">
        <f t="shared" si="0"/>
        <v>141.30434782608697</v>
      </c>
      <c r="G21" s="6"/>
      <c r="K21" s="6"/>
      <c r="N21" s="6"/>
      <c r="Q21" s="6"/>
      <c r="V21" s="6"/>
      <c r="Y21" s="6"/>
    </row>
    <row r="22" spans="2:25">
      <c r="G22" s="6"/>
      <c r="K22" s="6"/>
      <c r="N22" s="6"/>
      <c r="Q22" s="6"/>
      <c r="V22" s="6"/>
      <c r="Y22" s="6"/>
    </row>
    <row r="24" spans="2:25">
      <c r="H24" s="8"/>
    </row>
    <row r="25" spans="2:25">
      <c r="B25" s="7" t="s">
        <v>252</v>
      </c>
      <c r="C25" s="8"/>
      <c r="E25" s="7" t="s">
        <v>253</v>
      </c>
      <c r="F25" s="8"/>
      <c r="G25" s="8"/>
      <c r="H25" s="8"/>
      <c r="J25" s="7" t="s">
        <v>254</v>
      </c>
      <c r="K25" s="8"/>
      <c r="L25" s="8"/>
      <c r="M25" s="8"/>
    </row>
    <row r="26" spans="2:25">
      <c r="B26" s="7" t="s">
        <v>255</v>
      </c>
      <c r="C26" s="8"/>
      <c r="E26" s="8"/>
      <c r="F26" s="8"/>
      <c r="G26" s="8"/>
      <c r="H26" s="8"/>
      <c r="J26" s="7" t="s">
        <v>256</v>
      </c>
      <c r="K26" s="7" t="s">
        <v>257</v>
      </c>
      <c r="L26" s="8"/>
      <c r="M26" s="8"/>
    </row>
    <row r="27" spans="2:25">
      <c r="B27" s="8"/>
      <c r="C27" s="8"/>
      <c r="E27" s="8" t="s">
        <v>258</v>
      </c>
      <c r="F27" s="8"/>
      <c r="G27" s="8"/>
      <c r="H27" s="8"/>
      <c r="J27" s="8" t="s">
        <v>259</v>
      </c>
      <c r="K27" s="9" t="s">
        <v>260</v>
      </c>
      <c r="L27" s="8"/>
      <c r="M27" s="8"/>
    </row>
    <row r="28" spans="2:25">
      <c r="B28" s="8" t="s">
        <v>261</v>
      </c>
      <c r="C28" s="8"/>
      <c r="E28" s="8" t="s">
        <v>262</v>
      </c>
      <c r="F28" s="8"/>
      <c r="G28" s="8"/>
      <c r="J28" s="8" t="s">
        <v>263</v>
      </c>
      <c r="K28" s="9" t="s">
        <v>260</v>
      </c>
      <c r="L28" s="8"/>
      <c r="M28" s="8"/>
    </row>
    <row r="29" spans="2:25">
      <c r="B29" s="8" t="s">
        <v>264</v>
      </c>
      <c r="C29" s="8"/>
      <c r="J29" s="8" t="s">
        <v>265</v>
      </c>
      <c r="K29" s="9" t="s">
        <v>260</v>
      </c>
      <c r="L29" s="8"/>
      <c r="M29" s="8"/>
    </row>
    <row r="30" spans="2:25">
      <c r="B30" s="8" t="s">
        <v>266</v>
      </c>
      <c r="C30" s="8"/>
      <c r="J30" s="8" t="s">
        <v>267</v>
      </c>
      <c r="K30" s="9" t="s">
        <v>260</v>
      </c>
      <c r="L30" s="8"/>
      <c r="M30" s="8"/>
    </row>
    <row r="31" spans="2:25">
      <c r="B31" s="8"/>
      <c r="C31" s="8"/>
      <c r="J31" s="8" t="s">
        <v>268</v>
      </c>
      <c r="K31" s="9" t="s">
        <v>260</v>
      </c>
      <c r="L31" s="8"/>
      <c r="M31" s="8"/>
    </row>
    <row r="32" spans="2:25">
      <c r="B32" s="8" t="s">
        <v>269</v>
      </c>
      <c r="C32" s="8"/>
      <c r="J32" s="8" t="s">
        <v>270</v>
      </c>
      <c r="K32" s="9" t="s">
        <v>260</v>
      </c>
      <c r="L32" s="8"/>
      <c r="M32" s="8"/>
    </row>
    <row r="33" spans="2:13">
      <c r="B33" s="8" t="s">
        <v>271</v>
      </c>
      <c r="C33" s="8"/>
      <c r="J33" s="8" t="s">
        <v>272</v>
      </c>
      <c r="K33" s="9" t="s">
        <v>260</v>
      </c>
      <c r="L33" s="8"/>
      <c r="M33" s="8"/>
    </row>
    <row r="34" spans="2:13">
      <c r="B34" s="8"/>
      <c r="C34" s="8"/>
      <c r="J34" s="8" t="s">
        <v>273</v>
      </c>
      <c r="K34" s="9" t="s">
        <v>260</v>
      </c>
      <c r="L34" s="8"/>
      <c r="M34" s="8"/>
    </row>
    <row r="35" spans="2:13">
      <c r="J35" s="8" t="s">
        <v>274</v>
      </c>
      <c r="K35" s="8">
        <v>65</v>
      </c>
      <c r="L35" s="8"/>
      <c r="M35" s="8"/>
    </row>
    <row r="36" spans="2:13">
      <c r="J36" s="8" t="s">
        <v>275</v>
      </c>
      <c r="K36" s="9" t="s">
        <v>260</v>
      </c>
      <c r="L36" s="8"/>
      <c r="M36" s="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2026-03-12T14:02:55Z</dcterms:created>
  <dcterms:modified xsi:type="dcterms:W3CDTF">2026-03-17T08:30:44Z</dcterms:modified>
  <cp:category/>
  <cp:contentStatus/>
</cp:coreProperties>
</file>